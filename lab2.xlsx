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filterPrivacy="1" defaultThemeVersion="124226"/>
  <xr:revisionPtr revIDLastSave="0" documentId="8_{966312E4-A4F5-49F1-8FC5-71DF2218F081}" xr6:coauthVersionLast="47" xr6:coauthVersionMax="47" xr10:uidLastSave="{00000000-0000-0000-0000-000000000000}"/>
  <bookViews>
    <workbookView xWindow="-60" yWindow="-60" windowWidth="15480" windowHeight="11640" xr2:uid="{D63D3B93-5E2A-4C2E-9639-00809831615E}"/>
  </bookViews>
  <sheets>
    <sheet name="Arkusz1" sheetId="1" r:id="rId1"/>
    <sheet name="Arkusz2" sheetId="2" r:id="rId2"/>
    <sheet name="Arkusz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H2" i="1"/>
  <c r="J2" i="1" s="1"/>
  <c r="K2" i="1"/>
  <c r="M2" i="1"/>
  <c r="L34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H4" i="1"/>
  <c r="K4" i="1"/>
  <c r="H3" i="1"/>
  <c r="K3" i="1"/>
  <c r="J3" i="1" l="1"/>
  <c r="M3" i="1" s="1"/>
  <c r="L3" i="1"/>
  <c r="J4" i="1"/>
  <c r="M4" i="1" s="1"/>
  <c r="L4" i="1"/>
  <c r="H5" i="1"/>
  <c r="J5" i="1" l="1"/>
  <c r="M5" i="1" s="1"/>
  <c r="L5" i="1"/>
  <c r="K5" i="1"/>
  <c r="H6" i="1"/>
  <c r="J6" i="1" l="1"/>
  <c r="M6" i="1" s="1"/>
  <c r="L6" i="1"/>
  <c r="K6" i="1"/>
  <c r="H7" i="1"/>
  <c r="J7" i="1" l="1"/>
  <c r="M7" i="1" s="1"/>
  <c r="L7" i="1"/>
  <c r="K7" i="1"/>
  <c r="H8" i="1"/>
  <c r="J8" i="1" l="1"/>
  <c r="M8" i="1" s="1"/>
  <c r="L8" i="1"/>
  <c r="K8" i="1"/>
  <c r="H9" i="1"/>
  <c r="J9" i="1" l="1"/>
  <c r="M9" i="1" s="1"/>
  <c r="L9" i="1"/>
  <c r="K9" i="1"/>
  <c r="H10" i="1"/>
  <c r="J10" i="1" l="1"/>
  <c r="M10" i="1" s="1"/>
  <c r="L10" i="1"/>
  <c r="K10" i="1"/>
  <c r="H11" i="1"/>
  <c r="J11" i="1" l="1"/>
  <c r="M11" i="1" s="1"/>
  <c r="L11" i="1"/>
  <c r="K11" i="1"/>
  <c r="H12" i="1"/>
  <c r="J12" i="1" l="1"/>
  <c r="M12" i="1" s="1"/>
  <c r="L12" i="1"/>
  <c r="K12" i="1"/>
  <c r="H13" i="1"/>
  <c r="J13" i="1" l="1"/>
  <c r="M13" i="1" s="1"/>
  <c r="L13" i="1"/>
  <c r="K13" i="1"/>
  <c r="H14" i="1"/>
  <c r="J14" i="1" l="1"/>
  <c r="M14" i="1" s="1"/>
  <c r="L14" i="1"/>
  <c r="K14" i="1"/>
  <c r="H15" i="1"/>
  <c r="J15" i="1" l="1"/>
  <c r="M15" i="1" s="1"/>
  <c r="L15" i="1"/>
  <c r="K15" i="1"/>
  <c r="H16" i="1"/>
  <c r="J16" i="1" l="1"/>
  <c r="M16" i="1" s="1"/>
  <c r="L16" i="1"/>
  <c r="K16" i="1"/>
  <c r="H17" i="1"/>
  <c r="J17" i="1" l="1"/>
  <c r="M17" i="1" s="1"/>
  <c r="L17" i="1"/>
  <c r="K17" i="1"/>
  <c r="H18" i="1"/>
  <c r="J18" i="1" l="1"/>
  <c r="M18" i="1" s="1"/>
  <c r="L18" i="1"/>
  <c r="K18" i="1"/>
  <c r="H19" i="1"/>
  <c r="J19" i="1" l="1"/>
  <c r="M19" i="1" s="1"/>
  <c r="L19" i="1"/>
  <c r="K19" i="1"/>
  <c r="H20" i="1"/>
  <c r="J20" i="1" l="1"/>
  <c r="M20" i="1" s="1"/>
  <c r="L20" i="1"/>
  <c r="K20" i="1"/>
  <c r="H21" i="1"/>
  <c r="J21" i="1" l="1"/>
  <c r="M21" i="1" s="1"/>
  <c r="L21" i="1"/>
  <c r="K21" i="1"/>
  <c r="H22" i="1"/>
  <c r="J22" i="1" l="1"/>
  <c r="M22" i="1" s="1"/>
  <c r="L22" i="1"/>
  <c r="K22" i="1"/>
  <c r="H23" i="1"/>
  <c r="J23" i="1" l="1"/>
  <c r="M23" i="1" s="1"/>
  <c r="L23" i="1"/>
  <c r="K23" i="1"/>
  <c r="H24" i="1"/>
  <c r="J24" i="1" l="1"/>
  <c r="M24" i="1" s="1"/>
  <c r="L24" i="1"/>
  <c r="K24" i="1"/>
  <c r="H25" i="1"/>
  <c r="J25" i="1" l="1"/>
  <c r="M25" i="1" s="1"/>
  <c r="L25" i="1"/>
  <c r="K25" i="1"/>
  <c r="H26" i="1"/>
  <c r="J26" i="1" l="1"/>
  <c r="M26" i="1" s="1"/>
  <c r="L26" i="1"/>
  <c r="K26" i="1"/>
  <c r="H27" i="1"/>
  <c r="J27" i="1" l="1"/>
  <c r="M27" i="1" s="1"/>
  <c r="L27" i="1"/>
  <c r="K27" i="1"/>
  <c r="H28" i="1"/>
  <c r="J28" i="1" l="1"/>
  <c r="M28" i="1" s="1"/>
  <c r="L28" i="1"/>
  <c r="K28" i="1"/>
  <c r="H29" i="1"/>
  <c r="J29" i="1" l="1"/>
  <c r="M29" i="1" s="1"/>
  <c r="L29" i="1"/>
  <c r="K29" i="1"/>
  <c r="H30" i="1"/>
  <c r="J30" i="1" l="1"/>
  <c r="M30" i="1" s="1"/>
  <c r="L30" i="1"/>
  <c r="K30" i="1"/>
  <c r="H31" i="1"/>
  <c r="J31" i="1" l="1"/>
  <c r="M31" i="1" s="1"/>
  <c r="L31" i="1"/>
  <c r="K31" i="1"/>
  <c r="H33" i="1"/>
  <c r="H32" i="1"/>
  <c r="J32" i="1" l="1"/>
  <c r="M32" i="1" s="1"/>
  <c r="L32" i="1"/>
  <c r="K32" i="1"/>
  <c r="J33" i="1"/>
  <c r="M33" i="1" s="1"/>
  <c r="L33" i="1"/>
  <c r="K33" i="1"/>
</calcChain>
</file>

<file path=xl/sharedStrings.xml><?xml version="1.0" encoding="utf-8"?>
<sst xmlns="http://schemas.openxmlformats.org/spreadsheetml/2006/main" count="11" uniqueCount="11">
  <si>
    <t>Nr studenta</t>
  </si>
  <si>
    <t>czas przybycia</t>
  </si>
  <si>
    <t>czas obsługi</t>
  </si>
  <si>
    <t>liczba stanowisk obsługi r</t>
  </si>
  <si>
    <t>czas 
(w min.)</t>
  </si>
  <si>
    <t>l</t>
  </si>
  <si>
    <t>m</t>
  </si>
  <si>
    <t>r</t>
  </si>
  <si>
    <t>P(n=0)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</si>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</sst>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5613-0392-49E9-ACB3-CA75F86FC5EE}">
  <dimension ref="A1:M34"/>
  <sheetViews>
    <sheetView tabSelected="1" workbookViewId="0">
      <selection activeCell="G3" sqref="G3"/>
    </sheetView>
  </sheetViews>
  <sheetFormatPr defaultRowHeight="15"/>
  <cols>
    <col min="1" max="1" width="10.42578125" customWidth="1"/>
    <col min="5" max="5" width="9.7109375" customWidth="1"/>
    <col min="14" max="14" width="13.140625" bestFit="1" customWidth="1"/>
  </cols>
  <sheetData>
    <row r="1" spans="1:13" ht="48" customHeight="1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2" t="s">
        <v>5</v>
      </c>
      <c r="I1" s="2" t="s">
        <v>6</v>
      </c>
      <c r="J1" s="2" t="s">
        <v>7</v>
      </c>
      <c r="K1" s="1" t="s">
        <v>8</v>
      </c>
      <c r="L1" s="1" t="s">
        <v>9</v>
      </c>
      <c r="M1" s="1" t="s">
        <v>10</v>
      </c>
    </row>
    <row r="2" spans="1:13">
      <c r="A2">
        <v>1</v>
      </c>
      <c r="B2">
        <v>0</v>
      </c>
      <c r="C2">
        <v>40</v>
      </c>
      <c r="E2">
        <v>2</v>
      </c>
      <c r="G2">
        <f>C2/60</f>
        <v>0.66666666666666663</v>
      </c>
      <c r="H2">
        <f>A2/G2</f>
        <v>1.5</v>
      </c>
      <c r="I2">
        <f>1/(AVERAGE($C$2:C2)/60)</f>
        <v>1.5</v>
      </c>
      <c r="J2">
        <f>H2/(E$2*G2)</f>
        <v>1.125</v>
      </c>
      <c r="K2">
        <f>(1-H2)/(1+H2)</f>
        <v>-0.2</v>
      </c>
      <c r="L2">
        <f>I2*((2*H2)^2*H2)/(2*(1-H2)^2)</f>
        <v>40.5</v>
      </c>
      <c r="M2">
        <f>J2/H2</f>
        <v>0.75</v>
      </c>
    </row>
    <row r="3" spans="1:13">
      <c r="A3">
        <v>2</v>
      </c>
      <c r="B3">
        <v>6</v>
      </c>
      <c r="C3">
        <v>60</v>
      </c>
      <c r="G3">
        <f>G2+B3/60</f>
        <v>0.76666666666666661</v>
      </c>
      <c r="H3">
        <f>A3/G3</f>
        <v>2.6086956521739131</v>
      </c>
      <c r="I3">
        <f>1/(AVERAGE($C$2:C3)/60)</f>
        <v>1.2</v>
      </c>
      <c r="J3">
        <f>H3/(E$2*G3)</f>
        <v>1.7013232514177696</v>
      </c>
      <c r="K3">
        <f t="shared" ref="K3:K33" si="0">(1-H3)/(1+H3)</f>
        <v>-0.44578313253012047</v>
      </c>
      <c r="L3">
        <f t="shared" ref="L3:L34" si="1">I3*((2*H3)^2*H3)/(2*(1-H3)^2)</f>
        <v>16.463937498015053</v>
      </c>
      <c r="M3">
        <f t="shared" ref="M3:M33" si="2">J3/H3</f>
        <v>0.65217391304347838</v>
      </c>
    </row>
    <row r="4" spans="1:13">
      <c r="A4">
        <v>3</v>
      </c>
      <c r="B4">
        <v>40</v>
      </c>
      <c r="C4">
        <v>65</v>
      </c>
      <c r="G4">
        <f t="shared" ref="G4:G33" si="3">G3+B4/60</f>
        <v>1.4333333333333331</v>
      </c>
      <c r="H4">
        <f t="shared" ref="H4:H33" si="4">A4/G4</f>
        <v>2.0930232558139537</v>
      </c>
      <c r="I4">
        <f>1/(AVERAGE($C$2:C4)/60)</f>
        <v>1.0909090909090911</v>
      </c>
      <c r="J4">
        <f t="shared" ref="J4:J33" si="5">H4/(E$2*G4)</f>
        <v>0.73012439156300724</v>
      </c>
      <c r="K4">
        <f t="shared" si="0"/>
        <v>-0.35338345864661658</v>
      </c>
      <c r="L4">
        <f t="shared" si="1"/>
        <v>16.744875136023399</v>
      </c>
      <c r="M4">
        <f t="shared" si="2"/>
        <v>0.34883720930232565</v>
      </c>
    </row>
    <row r="5" spans="1:13">
      <c r="A5">
        <v>4</v>
      </c>
      <c r="B5">
        <v>30</v>
      </c>
      <c r="C5">
        <v>60</v>
      </c>
      <c r="G5">
        <f t="shared" si="3"/>
        <v>1.9333333333333331</v>
      </c>
      <c r="H5">
        <f t="shared" si="4"/>
        <v>2.0689655172413794</v>
      </c>
      <c r="I5">
        <f>1/(AVERAGE($C$2:C5)/60)</f>
        <v>1.0666666666666667</v>
      </c>
      <c r="J5">
        <f t="shared" si="5"/>
        <v>0.53507728894173612</v>
      </c>
      <c r="K5">
        <f t="shared" si="0"/>
        <v>-0.34831460674157305</v>
      </c>
      <c r="L5">
        <f t="shared" si="1"/>
        <v>16.534500699702178</v>
      </c>
      <c r="M5">
        <f t="shared" si="2"/>
        <v>0.25862068965517243</v>
      </c>
    </row>
    <row r="6" spans="1:13">
      <c r="A6">
        <v>5</v>
      </c>
      <c r="B6">
        <v>50</v>
      </c>
      <c r="C6">
        <v>40</v>
      </c>
      <c r="G6">
        <f t="shared" si="3"/>
        <v>2.7666666666666666</v>
      </c>
      <c r="H6">
        <f t="shared" si="4"/>
        <v>1.8072289156626506</v>
      </c>
      <c r="I6">
        <f>1/(AVERAGE($C$2:C6)/60)</f>
        <v>1.1320754716981132</v>
      </c>
      <c r="J6">
        <f t="shared" si="5"/>
        <v>0.32660763536072002</v>
      </c>
      <c r="K6">
        <f t="shared" si="0"/>
        <v>-0.28755364806866951</v>
      </c>
      <c r="L6">
        <f t="shared" si="1"/>
        <v>20.509329187444177</v>
      </c>
      <c r="M6">
        <f t="shared" si="2"/>
        <v>0.18072289156626506</v>
      </c>
    </row>
    <row r="7" spans="1:13">
      <c r="A7">
        <v>6</v>
      </c>
      <c r="B7">
        <v>30</v>
      </c>
      <c r="C7">
        <v>55</v>
      </c>
      <c r="G7">
        <f t="shared" si="3"/>
        <v>3.2666666666666666</v>
      </c>
      <c r="H7">
        <f t="shared" si="4"/>
        <v>1.8367346938775511</v>
      </c>
      <c r="I7">
        <f>1/(AVERAGE($C$2:C7)/60)</f>
        <v>1.125</v>
      </c>
      <c r="J7">
        <f t="shared" si="5"/>
        <v>0.28113286130778842</v>
      </c>
      <c r="K7">
        <f t="shared" si="0"/>
        <v>-0.29496402877697847</v>
      </c>
      <c r="L7">
        <f t="shared" si="1"/>
        <v>19.913438308101348</v>
      </c>
      <c r="M7">
        <f t="shared" si="2"/>
        <v>0.15306122448979592</v>
      </c>
    </row>
    <row r="8" spans="1:13">
      <c r="A8">
        <v>7</v>
      </c>
      <c r="B8">
        <v>25</v>
      </c>
      <c r="C8">
        <v>65</v>
      </c>
      <c r="G8">
        <f t="shared" si="3"/>
        <v>3.6833333333333331</v>
      </c>
      <c r="H8">
        <f t="shared" si="4"/>
        <v>1.9004524886877829</v>
      </c>
      <c r="I8">
        <f>1/(AVERAGE($C$2:C8)/60)</f>
        <v>1.0909090909090911</v>
      </c>
      <c r="J8">
        <f t="shared" si="5"/>
        <v>0.25797997583997057</v>
      </c>
      <c r="K8">
        <f t="shared" si="0"/>
        <v>-0.31045241809672386</v>
      </c>
      <c r="L8">
        <f t="shared" si="1"/>
        <v>18.47004702844648</v>
      </c>
      <c r="M8">
        <f t="shared" si="2"/>
        <v>0.13574660633484165</v>
      </c>
    </row>
    <row r="9" spans="1:13">
      <c r="A9">
        <v>8</v>
      </c>
      <c r="B9">
        <v>5</v>
      </c>
      <c r="C9">
        <v>60</v>
      </c>
      <c r="G9">
        <f t="shared" si="3"/>
        <v>3.7666666666666666</v>
      </c>
      <c r="H9">
        <f t="shared" si="4"/>
        <v>2.1238938053097347</v>
      </c>
      <c r="I9">
        <f>1/(AVERAGE($C$2:C9)/60)</f>
        <v>1.0786516853932584</v>
      </c>
      <c r="J9">
        <f t="shared" si="5"/>
        <v>0.28193280601456655</v>
      </c>
      <c r="K9">
        <f t="shared" si="0"/>
        <v>-0.35977337110481589</v>
      </c>
      <c r="L9">
        <f t="shared" si="1"/>
        <v>16.362854243059584</v>
      </c>
      <c r="M9">
        <f t="shared" si="2"/>
        <v>0.13274336283185842</v>
      </c>
    </row>
    <row r="10" spans="1:13">
      <c r="A10">
        <v>9</v>
      </c>
      <c r="B10">
        <v>15</v>
      </c>
      <c r="C10">
        <v>60</v>
      </c>
      <c r="G10">
        <f t="shared" si="3"/>
        <v>4.0166666666666666</v>
      </c>
      <c r="H10">
        <f t="shared" si="4"/>
        <v>2.2406639004149378</v>
      </c>
      <c r="I10">
        <f>1/(AVERAGE($C$2:C10)/60)</f>
        <v>1.0693069306930691</v>
      </c>
      <c r="J10">
        <f t="shared" si="5"/>
        <v>0.27892081747903791</v>
      </c>
      <c r="K10">
        <f t="shared" si="0"/>
        <v>-0.38284250960307298</v>
      </c>
      <c r="L10">
        <f t="shared" si="1"/>
        <v>15.629829396549722</v>
      </c>
      <c r="M10">
        <f t="shared" si="2"/>
        <v>0.12448132780082988</v>
      </c>
    </row>
    <row r="11" spans="1:13">
      <c r="A11">
        <v>10</v>
      </c>
      <c r="B11">
        <v>15</v>
      </c>
      <c r="C11">
        <v>70</v>
      </c>
      <c r="G11">
        <f t="shared" si="3"/>
        <v>4.2666666666666666</v>
      </c>
      <c r="H11">
        <f t="shared" si="4"/>
        <v>2.34375</v>
      </c>
      <c r="I11">
        <f>1/(AVERAGE($C$2:C11)/60)</f>
        <v>1.0434782608695652</v>
      </c>
      <c r="J11">
        <f t="shared" si="5"/>
        <v>0.274658203125</v>
      </c>
      <c r="K11">
        <f t="shared" si="0"/>
        <v>-0.40186915887850466</v>
      </c>
      <c r="L11">
        <f t="shared" si="1"/>
        <v>14.880252545441719</v>
      </c>
      <c r="M11">
        <f t="shared" si="2"/>
        <v>0.1171875</v>
      </c>
    </row>
    <row r="12" spans="1:13">
      <c r="A12">
        <v>11</v>
      </c>
      <c r="B12">
        <v>10</v>
      </c>
      <c r="C12">
        <v>65</v>
      </c>
      <c r="G12">
        <f t="shared" si="3"/>
        <v>4.4333333333333336</v>
      </c>
      <c r="H12">
        <f t="shared" si="4"/>
        <v>2.481203007518797</v>
      </c>
      <c r="I12">
        <f>1/(AVERAGE($C$2:C12)/60)</f>
        <v>1.03125</v>
      </c>
      <c r="J12">
        <f t="shared" si="5"/>
        <v>0.27983492566001467</v>
      </c>
      <c r="K12">
        <f t="shared" si="0"/>
        <v>-0.42548596112311016</v>
      </c>
      <c r="L12">
        <f t="shared" si="1"/>
        <v>14.359908861540331</v>
      </c>
      <c r="M12">
        <f t="shared" si="2"/>
        <v>0.11278195488721804</v>
      </c>
    </row>
    <row r="13" spans="1:13">
      <c r="A13">
        <v>12</v>
      </c>
      <c r="B13">
        <v>30</v>
      </c>
      <c r="C13">
        <v>70</v>
      </c>
      <c r="G13">
        <f t="shared" si="3"/>
        <v>4.9333333333333336</v>
      </c>
      <c r="H13">
        <f t="shared" si="4"/>
        <v>2.4324324324324325</v>
      </c>
      <c r="I13">
        <f>1/(AVERAGE($C$2:C13)/60)</f>
        <v>1.0140845070422535</v>
      </c>
      <c r="J13">
        <f t="shared" si="5"/>
        <v>0.24653031409788165</v>
      </c>
      <c r="K13">
        <f t="shared" si="0"/>
        <v>-0.41732283464566927</v>
      </c>
      <c r="L13">
        <f t="shared" si="1"/>
        <v>14.22584945366347</v>
      </c>
      <c r="M13">
        <f t="shared" si="2"/>
        <v>0.10135135135135134</v>
      </c>
    </row>
    <row r="14" spans="1:13">
      <c r="A14">
        <v>13</v>
      </c>
      <c r="B14">
        <v>40</v>
      </c>
      <c r="C14">
        <v>65</v>
      </c>
      <c r="G14">
        <f t="shared" si="3"/>
        <v>5.6000000000000005</v>
      </c>
      <c r="H14">
        <f t="shared" si="4"/>
        <v>2.3214285714285712</v>
      </c>
      <c r="I14">
        <f>1/(AVERAGE($C$2:C14)/60)</f>
        <v>1.0064516129032259</v>
      </c>
      <c r="J14">
        <f t="shared" si="5"/>
        <v>0.20727040816326525</v>
      </c>
      <c r="K14">
        <f t="shared" si="0"/>
        <v>-0.39784946236559138</v>
      </c>
      <c r="L14">
        <f t="shared" si="1"/>
        <v>14.421202869328416</v>
      </c>
      <c r="M14">
        <f t="shared" si="2"/>
        <v>8.9285714285714274E-2</v>
      </c>
    </row>
    <row r="15" spans="1:13">
      <c r="A15">
        <v>14</v>
      </c>
      <c r="B15">
        <v>40</v>
      </c>
      <c r="C15">
        <v>75</v>
      </c>
      <c r="G15">
        <f t="shared" si="3"/>
        <v>6.2666666666666675</v>
      </c>
      <c r="H15">
        <f t="shared" si="4"/>
        <v>2.2340425531914891</v>
      </c>
      <c r="I15">
        <f>1/(AVERAGE($C$2:C15)/60)</f>
        <v>0.9882352941176471</v>
      </c>
      <c r="J15">
        <f t="shared" si="5"/>
        <v>0.17824807605251242</v>
      </c>
      <c r="K15">
        <f t="shared" si="0"/>
        <v>-0.38157894736842102</v>
      </c>
      <c r="L15">
        <f t="shared" si="1"/>
        <v>14.471195415196462</v>
      </c>
      <c r="M15">
        <f t="shared" si="2"/>
        <v>7.9787234042553182E-2</v>
      </c>
    </row>
    <row r="16" spans="1:13">
      <c r="A16">
        <v>15</v>
      </c>
      <c r="B16">
        <v>40</v>
      </c>
      <c r="C16">
        <v>60</v>
      </c>
      <c r="G16">
        <f t="shared" si="3"/>
        <v>6.9333333333333345</v>
      </c>
      <c r="H16">
        <f t="shared" si="4"/>
        <v>2.1634615384615383</v>
      </c>
      <c r="I16">
        <f>1/(AVERAGE($C$2:C16)/60)</f>
        <v>0.98901098901098905</v>
      </c>
      <c r="J16">
        <f t="shared" si="5"/>
        <v>0.15601886094674552</v>
      </c>
      <c r="K16">
        <f t="shared" si="0"/>
        <v>-0.36778115501519754</v>
      </c>
      <c r="L16">
        <f t="shared" si="1"/>
        <v>14.797031120067587</v>
      </c>
      <c r="M16">
        <f t="shared" si="2"/>
        <v>7.2115384615384609E-2</v>
      </c>
    </row>
    <row r="17" spans="1:13">
      <c r="A17">
        <v>16</v>
      </c>
      <c r="B17">
        <v>50</v>
      </c>
      <c r="C17">
        <v>50</v>
      </c>
      <c r="G17">
        <f t="shared" si="3"/>
        <v>7.7666666666666675</v>
      </c>
      <c r="H17">
        <f t="shared" si="4"/>
        <v>2.0600858369098711</v>
      </c>
      <c r="I17">
        <f>1/(AVERAGE($C$2:C17)/60)</f>
        <v>1</v>
      </c>
      <c r="J17">
        <f t="shared" si="5"/>
        <v>0.13262355173239512</v>
      </c>
      <c r="K17">
        <f t="shared" si="0"/>
        <v>-0.34642356241234218</v>
      </c>
      <c r="L17">
        <f t="shared" si="1"/>
        <v>15.559795335902384</v>
      </c>
      <c r="M17">
        <f t="shared" si="2"/>
        <v>6.4377682403433473E-2</v>
      </c>
    </row>
    <row r="18" spans="1:13">
      <c r="A18">
        <v>17</v>
      </c>
      <c r="B18">
        <v>50</v>
      </c>
      <c r="C18">
        <v>65</v>
      </c>
      <c r="G18">
        <f t="shared" si="3"/>
        <v>8.6000000000000014</v>
      </c>
      <c r="H18">
        <f t="shared" si="4"/>
        <v>1.9767441860465114</v>
      </c>
      <c r="I18">
        <f>1/(AVERAGE($C$2:C18)/60)</f>
        <v>0.99512195121951219</v>
      </c>
      <c r="J18">
        <f t="shared" si="5"/>
        <v>0.11492698756084367</v>
      </c>
      <c r="K18">
        <f t="shared" si="0"/>
        <v>-0.32812499999999989</v>
      </c>
      <c r="L18">
        <f t="shared" si="1"/>
        <v>16.113728531684941</v>
      </c>
      <c r="M18">
        <f t="shared" si="2"/>
        <v>5.8139534883720922E-2</v>
      </c>
    </row>
    <row r="19" spans="1:13">
      <c r="A19">
        <v>18</v>
      </c>
      <c r="B19">
        <v>55</v>
      </c>
      <c r="C19">
        <v>65</v>
      </c>
      <c r="G19">
        <f t="shared" si="3"/>
        <v>9.5166666666666675</v>
      </c>
      <c r="H19">
        <f t="shared" si="4"/>
        <v>1.8914185639229419</v>
      </c>
      <c r="I19">
        <f>1/(AVERAGE($C$2:C19)/60)</f>
        <v>0.99082568807339444</v>
      </c>
      <c r="J19">
        <f t="shared" si="5"/>
        <v>9.9374005109786778E-2</v>
      </c>
      <c r="K19">
        <f t="shared" si="0"/>
        <v>-0.30829800121138695</v>
      </c>
      <c r="L19">
        <f t="shared" si="1"/>
        <v>16.87434199404322</v>
      </c>
      <c r="M19">
        <f t="shared" si="2"/>
        <v>5.2539404553415055E-2</v>
      </c>
    </row>
    <row r="20" spans="1:13">
      <c r="A20">
        <v>19</v>
      </c>
      <c r="B20">
        <v>45</v>
      </c>
      <c r="C20">
        <v>65</v>
      </c>
      <c r="G20">
        <f t="shared" si="3"/>
        <v>10.266666666666667</v>
      </c>
      <c r="H20">
        <f t="shared" si="4"/>
        <v>1.8506493506493504</v>
      </c>
      <c r="I20">
        <f>1/(AVERAGE($C$2:C20)/60)</f>
        <v>0.98701298701298712</v>
      </c>
      <c r="J20">
        <f t="shared" si="5"/>
        <v>9.012902681733849E-2</v>
      </c>
      <c r="K20">
        <f t="shared" si="0"/>
        <v>-0.29840546697038722</v>
      </c>
      <c r="L20">
        <f t="shared" si="1"/>
        <v>17.291160047273468</v>
      </c>
      <c r="M20">
        <f t="shared" si="2"/>
        <v>4.8701298701298697E-2</v>
      </c>
    </row>
    <row r="21" spans="1:13">
      <c r="A21">
        <v>20</v>
      </c>
      <c r="B21">
        <v>55</v>
      </c>
      <c r="C21">
        <v>75</v>
      </c>
      <c r="G21">
        <f t="shared" si="3"/>
        <v>11.183333333333334</v>
      </c>
      <c r="H21">
        <f t="shared" si="4"/>
        <v>1.7883755588673622</v>
      </c>
      <c r="I21">
        <f>1/(AVERAGE($C$2:C21)/60)</f>
        <v>0.97560975609756106</v>
      </c>
      <c r="J21">
        <f t="shared" si="5"/>
        <v>7.9957178488853753E-2</v>
      </c>
      <c r="K21">
        <f t="shared" si="0"/>
        <v>-0.28273650454302512</v>
      </c>
      <c r="L21">
        <f t="shared" si="1"/>
        <v>17.956264919209797</v>
      </c>
      <c r="M21">
        <f t="shared" si="2"/>
        <v>4.4709388971684055E-2</v>
      </c>
    </row>
    <row r="22" spans="1:13">
      <c r="A22">
        <v>21</v>
      </c>
      <c r="B22">
        <v>55</v>
      </c>
      <c r="C22">
        <v>70</v>
      </c>
      <c r="G22">
        <f t="shared" si="3"/>
        <v>12.1</v>
      </c>
      <c r="H22">
        <f t="shared" si="4"/>
        <v>1.7355371900826446</v>
      </c>
      <c r="I22">
        <f>1/(AVERAGE($C$2:C22)/60)</f>
        <v>0.96923076923076912</v>
      </c>
      <c r="J22">
        <f t="shared" si="5"/>
        <v>7.1716412813332422E-2</v>
      </c>
      <c r="K22">
        <f t="shared" si="0"/>
        <v>-0.26888217522658608</v>
      </c>
      <c r="L22">
        <f t="shared" si="1"/>
        <v>18.730513727701865</v>
      </c>
      <c r="M22">
        <f t="shared" si="2"/>
        <v>4.1322314049586778E-2</v>
      </c>
    </row>
    <row r="23" spans="1:13">
      <c r="A23">
        <v>22</v>
      </c>
      <c r="B23">
        <v>50</v>
      </c>
      <c r="C23">
        <v>60</v>
      </c>
      <c r="G23">
        <f t="shared" si="3"/>
        <v>12.933333333333334</v>
      </c>
      <c r="H23">
        <f t="shared" si="4"/>
        <v>1.7010309278350515</v>
      </c>
      <c r="I23">
        <f>1/(AVERAGE($C$2:C23)/60)</f>
        <v>0.97058823529411764</v>
      </c>
      <c r="J23">
        <f t="shared" si="5"/>
        <v>6.5761504942076734E-2</v>
      </c>
      <c r="K23">
        <f t="shared" si="0"/>
        <v>-0.25954198473282442</v>
      </c>
      <c r="L23">
        <f t="shared" si="1"/>
        <v>19.441389061421308</v>
      </c>
      <c r="M23">
        <f t="shared" si="2"/>
        <v>3.8659793814432991E-2</v>
      </c>
    </row>
    <row r="24" spans="1:13">
      <c r="A24">
        <v>23</v>
      </c>
      <c r="B24">
        <v>45</v>
      </c>
      <c r="C24">
        <v>65</v>
      </c>
      <c r="G24">
        <f t="shared" si="3"/>
        <v>13.683333333333334</v>
      </c>
      <c r="H24">
        <f t="shared" si="4"/>
        <v>1.6808769792935445</v>
      </c>
      <c r="I24">
        <f>1/(AVERAGE($C$2:C24)/60)</f>
        <v>0.96842105263157885</v>
      </c>
      <c r="J24">
        <f t="shared" si="5"/>
        <v>6.14205960764998E-2</v>
      </c>
      <c r="K24">
        <f t="shared" si="0"/>
        <v>-0.25397546569741031</v>
      </c>
      <c r="L24">
        <f t="shared" si="1"/>
        <v>19.841052397912833</v>
      </c>
      <c r="M24">
        <f t="shared" si="2"/>
        <v>3.6540803897685749E-2</v>
      </c>
    </row>
    <row r="25" spans="1:13">
      <c r="A25">
        <v>24</v>
      </c>
      <c r="B25">
        <v>45</v>
      </c>
      <c r="C25">
        <v>62</v>
      </c>
      <c r="G25">
        <f t="shared" si="3"/>
        <v>14.433333333333334</v>
      </c>
      <c r="H25">
        <f t="shared" si="4"/>
        <v>1.6628175519630484</v>
      </c>
      <c r="I25">
        <f>1/(AVERAGE($C$2:C25)/60)</f>
        <v>0.96839273705447204</v>
      </c>
      <c r="J25">
        <f t="shared" si="5"/>
        <v>5.7603379398258027E-2</v>
      </c>
      <c r="K25">
        <f t="shared" si="0"/>
        <v>-0.24891587163920206</v>
      </c>
      <c r="L25">
        <f t="shared" si="1"/>
        <v>20.268766460358208</v>
      </c>
      <c r="M25">
        <f t="shared" si="2"/>
        <v>3.4642032332563508E-2</v>
      </c>
    </row>
    <row r="26" spans="1:13">
      <c r="A26">
        <v>25</v>
      </c>
      <c r="B26">
        <v>50</v>
      </c>
      <c r="C26">
        <v>60</v>
      </c>
      <c r="G26">
        <f t="shared" si="3"/>
        <v>15.266666666666667</v>
      </c>
      <c r="H26">
        <f t="shared" si="4"/>
        <v>1.6375545851528384</v>
      </c>
      <c r="I26">
        <f>1/(AVERAGE($C$2:C26)/60)</f>
        <v>0.96961861667744009</v>
      </c>
      <c r="J26">
        <f t="shared" si="5"/>
        <v>5.3631700387101688E-2</v>
      </c>
      <c r="K26">
        <f t="shared" si="0"/>
        <v>-0.24172185430463575</v>
      </c>
      <c r="L26">
        <f t="shared" si="1"/>
        <v>20.949976989566601</v>
      </c>
      <c r="M26">
        <f t="shared" si="2"/>
        <v>3.2751091703056769E-2</v>
      </c>
    </row>
    <row r="27" spans="1:13">
      <c r="A27">
        <v>26</v>
      </c>
      <c r="B27">
        <v>10</v>
      </c>
      <c r="C27">
        <v>40</v>
      </c>
      <c r="G27">
        <f t="shared" si="3"/>
        <v>15.433333333333334</v>
      </c>
      <c r="H27">
        <f t="shared" si="4"/>
        <v>1.6846652267818574</v>
      </c>
      <c r="I27">
        <f>1/(AVERAGE($C$2:C27)/60)</f>
        <v>0.98298676748582237</v>
      </c>
      <c r="J27">
        <f t="shared" si="5"/>
        <v>5.4578787044768595E-2</v>
      </c>
      <c r="K27">
        <f t="shared" si="0"/>
        <v>-0.25502815768302495</v>
      </c>
      <c r="L27">
        <f t="shared" si="1"/>
        <v>20.05219687322651</v>
      </c>
      <c r="M27">
        <f t="shared" si="2"/>
        <v>3.2397408207343409E-2</v>
      </c>
    </row>
    <row r="28" spans="1:13">
      <c r="A28">
        <v>27</v>
      </c>
      <c r="B28">
        <v>25</v>
      </c>
      <c r="C28">
        <v>55</v>
      </c>
      <c r="G28">
        <f t="shared" si="3"/>
        <v>15.85</v>
      </c>
      <c r="H28">
        <f t="shared" si="4"/>
        <v>1.7034700315457414</v>
      </c>
      <c r="I28">
        <f>1/(AVERAGE($C$2:C28)/60)</f>
        <v>0.98660170523751534</v>
      </c>
      <c r="J28">
        <f t="shared" si="5"/>
        <v>5.3737224969897204E-2</v>
      </c>
      <c r="K28">
        <f t="shared" si="0"/>
        <v>-0.26021003500583434</v>
      </c>
      <c r="L28">
        <f t="shared" si="1"/>
        <v>19.70988764320537</v>
      </c>
      <c r="M28">
        <f t="shared" si="2"/>
        <v>3.1545741324921134E-2</v>
      </c>
    </row>
    <row r="29" spans="1:13">
      <c r="A29">
        <v>28</v>
      </c>
      <c r="B29">
        <v>25</v>
      </c>
      <c r="C29">
        <v>75</v>
      </c>
      <c r="G29">
        <f t="shared" si="3"/>
        <v>16.266666666666666</v>
      </c>
      <c r="H29">
        <f t="shared" si="4"/>
        <v>1.7213114754098362</v>
      </c>
      <c r="I29">
        <f>1/(AVERAGE($C$2:C29)/60)</f>
        <v>0.97845078625509618</v>
      </c>
      <c r="J29">
        <f t="shared" si="5"/>
        <v>5.2909164203171197E-2</v>
      </c>
      <c r="K29">
        <f t="shared" si="0"/>
        <v>-0.2650602409638555</v>
      </c>
      <c r="L29">
        <f t="shared" si="1"/>
        <v>19.182344726977302</v>
      </c>
      <c r="M29">
        <f t="shared" si="2"/>
        <v>3.073770491803279E-2</v>
      </c>
    </row>
    <row r="30" spans="1:13">
      <c r="A30">
        <v>29</v>
      </c>
      <c r="B30">
        <v>55</v>
      </c>
      <c r="C30">
        <v>60</v>
      </c>
      <c r="G30">
        <f t="shared" si="3"/>
        <v>17.183333333333334</v>
      </c>
      <c r="H30">
        <f t="shared" si="4"/>
        <v>1.687681862269641</v>
      </c>
      <c r="I30">
        <f>1/(AVERAGE($C$2:C30)/60)</f>
        <v>0.97917839054586375</v>
      </c>
      <c r="J30">
        <f t="shared" si="5"/>
        <v>4.9108104624722822E-2</v>
      </c>
      <c r="K30">
        <f t="shared" si="0"/>
        <v>-0.25586430891374951</v>
      </c>
      <c r="L30">
        <f t="shared" si="1"/>
        <v>19.906202849832233</v>
      </c>
      <c r="M30">
        <f t="shared" si="2"/>
        <v>2.9097963142580018E-2</v>
      </c>
    </row>
    <row r="31" spans="1:13">
      <c r="A31">
        <v>30</v>
      </c>
      <c r="B31">
        <v>55</v>
      </c>
      <c r="C31">
        <v>40</v>
      </c>
      <c r="G31">
        <f t="shared" si="3"/>
        <v>18.100000000000001</v>
      </c>
      <c r="H31">
        <f t="shared" si="4"/>
        <v>1.6574585635359114</v>
      </c>
      <c r="I31">
        <f>1/(AVERAGE($C$2:C31)/60)</f>
        <v>0.99064391854705547</v>
      </c>
      <c r="J31">
        <f t="shared" si="5"/>
        <v>4.578614816397545E-2</v>
      </c>
      <c r="K31">
        <f t="shared" si="0"/>
        <v>-0.24740124740124733</v>
      </c>
      <c r="L31">
        <f t="shared" si="1"/>
        <v>20.870787678688377</v>
      </c>
      <c r="M31">
        <f t="shared" si="2"/>
        <v>2.7624309392265192E-2</v>
      </c>
    </row>
    <row r="32" spans="1:13">
      <c r="A32">
        <v>31</v>
      </c>
      <c r="B32">
        <v>40</v>
      </c>
      <c r="C32">
        <v>70</v>
      </c>
      <c r="G32">
        <f t="shared" si="3"/>
        <v>18.766666666666669</v>
      </c>
      <c r="H32">
        <f t="shared" si="4"/>
        <v>1.6518650088809945</v>
      </c>
      <c r="I32">
        <f>1/(AVERAGE($C$2:C32)/60)</f>
        <v>0.98569157392686813</v>
      </c>
      <c r="J32">
        <f t="shared" si="5"/>
        <v>4.4010613025248516E-2</v>
      </c>
      <c r="K32">
        <f t="shared" si="0"/>
        <v>-0.24581379772270592</v>
      </c>
      <c r="L32">
        <f t="shared" si="1"/>
        <v>20.911219562199754</v>
      </c>
      <c r="M32">
        <f t="shared" si="2"/>
        <v>2.6642984014209586E-2</v>
      </c>
    </row>
    <row r="33" spans="1:13">
      <c r="A33">
        <v>32</v>
      </c>
      <c r="B33">
        <v>50</v>
      </c>
      <c r="C33">
        <v>60</v>
      </c>
      <c r="G33">
        <f t="shared" si="3"/>
        <v>19.600000000000001</v>
      </c>
      <c r="H33">
        <f t="shared" si="4"/>
        <v>1.6326530612244896</v>
      </c>
      <c r="I33">
        <f>1/(AVERAGE($C$2:C33)/60)</f>
        <v>0.98613251155624027</v>
      </c>
      <c r="J33">
        <f t="shared" si="5"/>
        <v>4.1649312786339016E-2</v>
      </c>
      <c r="K33">
        <f t="shared" si="0"/>
        <v>-0.24031007751937977</v>
      </c>
      <c r="L33">
        <f t="shared" si="1"/>
        <v>21.444492170859231</v>
      </c>
      <c r="M33">
        <f t="shared" si="2"/>
        <v>2.551020408163265E-2</v>
      </c>
    </row>
    <row r="34" spans="1:13">
      <c r="L34">
        <f t="shared" si="1"/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CA17-A7CD-41B8-B018-EA0EB568F5B1}">
  <dimension ref="A1"/>
  <sheetViews>
    <sheetView topLeftCell="A36"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1F2C-C776-46FE-9AF6-1323A42938EC}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2006-09-22T13:37:51Z</dcterms:created>
  <dcterms:modified xsi:type="dcterms:W3CDTF">2026-03-02T11:56:14Z</dcterms:modified>
  <cp:category/>
  <cp:contentStatus/>
</cp:coreProperties>
</file>